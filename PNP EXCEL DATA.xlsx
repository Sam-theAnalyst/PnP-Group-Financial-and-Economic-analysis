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PNP financial analysis project\"/>
    </mc:Choice>
  </mc:AlternateContent>
  <xr:revisionPtr revIDLastSave="0" documentId="13_ncr:1_{B12562D3-E74C-499A-8150-0244BAF99C8C}" xr6:coauthVersionLast="47" xr6:coauthVersionMax="47" xr10:uidLastSave="{00000000-0000-0000-0000-000000000000}"/>
  <bookViews>
    <workbookView xWindow="-120" yWindow="-120" windowWidth="20730" windowHeight="11160" firstSheet="2" activeTab="3" xr2:uid="{928C3E33-7123-4FD5-ACB2-185E5A18A09D}"/>
  </bookViews>
  <sheets>
    <sheet name="Financial position 2022 to 2023" sheetId="1" r:id="rId1"/>
    <sheet name="Income statement 2022 to 2023" sheetId="2" r:id="rId2"/>
    <sheet name="Income statement 2024 to 2025" sheetId="3" r:id="rId3"/>
    <sheet name="Financial position 2024 t0 2025" sheetId="4" r:id="rId4"/>
  </sheets>
  <definedNames>
    <definedName name="ExternalData_1" localSheetId="3" hidden="1">'Financial position 2024 t0 2025'!$A$1:$C$55</definedName>
    <definedName name="ExternalData_1" localSheetId="1" hidden="1">'Income statement 2022 to 2023'!$A$1:$C$53</definedName>
    <definedName name="ExternalData_2" localSheetId="0" hidden="1">'Financial position 2022 to 2023'!$A$1:$C$54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1" i="4" l="1"/>
  <c r="D50" i="4"/>
  <c r="D49" i="4"/>
  <c r="D48" i="4"/>
  <c r="D47" i="4"/>
  <c r="D44" i="4"/>
  <c r="D43" i="4"/>
  <c r="D35" i="4"/>
  <c r="D34" i="4"/>
  <c r="D33" i="4"/>
  <c r="D27" i="4"/>
  <c r="D23" i="4"/>
  <c r="D22" i="4"/>
  <c r="D21" i="4"/>
  <c r="D18" i="4"/>
  <c r="D14" i="4"/>
  <c r="D9" i="4"/>
  <c r="D8" i="4"/>
  <c r="D49" i="2"/>
  <c r="D46" i="2"/>
  <c r="D34" i="2"/>
  <c r="D33" i="2"/>
  <c r="D32" i="2"/>
  <c r="D26" i="2"/>
  <c r="D22" i="2"/>
  <c r="D16" i="2"/>
  <c r="D10" i="2"/>
  <c r="D9" i="2"/>
  <c r="D8" i="2"/>
  <c r="D7" i="2"/>
  <c r="D5" i="2"/>
  <c r="D49" i="1"/>
  <c r="D47" i="1"/>
  <c r="D45" i="1"/>
  <c r="D41" i="1"/>
  <c r="D36" i="1"/>
  <c r="D35" i="1"/>
  <c r="D27" i="1"/>
  <c r="D24" i="1"/>
  <c r="D23" i="1"/>
  <c r="D22" i="1"/>
  <c r="D18" i="1"/>
  <c r="D14" i="1"/>
  <c r="D9" i="1"/>
  <c r="D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C3C8C9-486F-4543-9391-6E0443D493B5}" keepAlive="1" name="Query - INCOME STATEMENT FOR FY22&amp;FY23" description="Connection to the 'INCOME STATEMENT FOR FY22&amp;FY23' query in the workbook." type="5" refreshedVersion="8" background="1" saveData="1">
    <dbPr connection="Provider=Microsoft.Mashup.OleDb.1;Data Source=$Workbook$;Location=&quot;INCOME STATEMENT FOR FY22&amp;FY23&quot;;Extended Properties=&quot;&quot;" command="SELECT * FROM [INCOME STATEMENT FOR FY22&amp;FY23]"/>
  </connection>
  <connection id="2" xr16:uid="{4C63001C-17FC-41E4-B3A0-FC60F7C07816}" keepAlive="1" name="Query - Statement of financial position FY24&amp;FY25" description="Connection to the 'Statement of financial position FY24&amp;FY25' query in the workbook." type="5" refreshedVersion="8" background="1" saveData="1">
    <dbPr connection="Provider=Microsoft.Mashup.OleDb.1;Data Source=$Workbook$;Location=&quot;Statement of financial position FY24&amp;FY25&quot;;Extended Properties=&quot;&quot;" command="SELECT * FROM [Statement of financial position FY24&amp;FY25]"/>
  </connection>
  <connection id="3" xr16:uid="{C7459043-826C-4962-85BE-76727686AA04}" keepAlive="1" name="Query - STATEMENT OF FINANCILA POSITION FOR FY22&amp;FY23" description="Connection to the 'STATEMENT OF FINANCILA POSITION FOR FY22&amp;FY23' query in the workbook." type="5" refreshedVersion="8" background="1" saveData="1">
    <dbPr connection="Provider=Microsoft.Mashup.OleDb.1;Data Source=$Workbook$;Location=&quot;STATEMENT OF FINANCILA POSITION FOR FY22&amp;FY23&quot;;Extended Properties=&quot;&quot;" command="SELECT * FROM [STATEMENT OF FINANCILA POSITION FOR FY22&amp;FY23]"/>
  </connection>
</connections>
</file>

<file path=xl/sharedStrings.xml><?xml version="1.0" encoding="utf-8"?>
<sst xmlns="http://schemas.openxmlformats.org/spreadsheetml/2006/main" count="227" uniqueCount="114">
  <si>
    <t>ITEMS</t>
  </si>
  <si>
    <t>FY2023</t>
  </si>
  <si>
    <t>FY2022</t>
  </si>
  <si>
    <t xml:space="preserve">Growth rate </t>
  </si>
  <si>
    <t/>
  </si>
  <si>
    <t>ASSETS</t>
  </si>
  <si>
    <t>Non-current assets</t>
  </si>
  <si>
    <t>Intangible assets</t>
  </si>
  <si>
    <t>Property, plant and equipment</t>
  </si>
  <si>
    <t>Right-of-use assets</t>
  </si>
  <si>
    <t>Net investment in lease receivables</t>
  </si>
  <si>
    <t>Deferred tax assets</t>
  </si>
  <si>
    <t>Investment in associate</t>
  </si>
  <si>
    <t>Loans</t>
  </si>
  <si>
    <t>Retirement scheme assets</t>
  </si>
  <si>
    <t>Investment in insurance cell captive</t>
  </si>
  <si>
    <t>Operating lease assets</t>
  </si>
  <si>
    <t>Trade and other receivables</t>
  </si>
  <si>
    <t>Current assets</t>
  </si>
  <si>
    <t>Inventory</t>
  </si>
  <si>
    <t>Cash and cash equivalents</t>
  </si>
  <si>
    <t>Right-of-return assets</t>
  </si>
  <si>
    <t>Derivative financial instruments</t>
  </si>
  <si>
    <t>Non-current asset held for sale</t>
  </si>
  <si>
    <t>Total assets</t>
  </si>
  <si>
    <t>EQUITY AND LIABILITIES</t>
  </si>
  <si>
    <t>Equity</t>
  </si>
  <si>
    <t>Share capital</t>
  </si>
  <si>
    <t>-</t>
  </si>
  <si>
    <t>Treasury shares</t>
  </si>
  <si>
    <t>Retained earnings</t>
  </si>
  <si>
    <t>Other reserves</t>
  </si>
  <si>
    <t>Foreign currency translation reserve</t>
  </si>
  <si>
    <t>Total equity</t>
  </si>
  <si>
    <t>Non-current liabilities</t>
  </si>
  <si>
    <t>Lease liabilities</t>
  </si>
  <si>
    <t>Current liabilities</t>
  </si>
  <si>
    <t>Trade and other payables*</t>
  </si>
  <si>
    <t>Deferred revenue</t>
  </si>
  <si>
    <t>Bank overdraft and overnight borrowings</t>
  </si>
  <si>
    <t>Borrowings</t>
  </si>
  <si>
    <t>Current tax liabilities</t>
  </si>
  <si>
    <t>Provisions*</t>
  </si>
  <si>
    <t>Total equity and liabilities</t>
  </si>
  <si>
    <t>Growth rate</t>
  </si>
  <si>
    <t>Revenue</t>
  </si>
  <si>
    <t>Turnover</t>
  </si>
  <si>
    <t>Cost of merchandise sold</t>
  </si>
  <si>
    <t>Gross profit</t>
  </si>
  <si>
    <t>Other income</t>
  </si>
  <si>
    <t>Franchise fee income</t>
  </si>
  <si>
    <t>Operating lease income</t>
  </si>
  <si>
    <t>Commissions and other income</t>
  </si>
  <si>
    <t>Insurance recoveries</t>
  </si>
  <si>
    <t>Trading expenses</t>
  </si>
  <si>
    <t>Employee costs</t>
  </si>
  <si>
    <t>Occupancy</t>
  </si>
  <si>
    <t>Operations</t>
  </si>
  <si>
    <t>Merchandising and administration*</t>
  </si>
  <si>
    <t>Trading profit</t>
  </si>
  <si>
    <t>Finance income</t>
  </si>
  <si>
    <t>cents</t>
  </si>
  <si>
    <t>Finance costs</t>
  </si>
  <si>
    <t>Share of associate’s earnings</t>
  </si>
  <si>
    <t>Profit before tax before capital items</t>
  </si>
  <si>
    <t>Loss on capital items</t>
  </si>
  <si>
    <t>(Loss)/profit on disposal of assets and insurance recoveries on scrapping of assets</t>
  </si>
  <si>
    <t>Loss from impairments and scrapping of assets</t>
  </si>
  <si>
    <t>Impairment loss on investment in associate</t>
  </si>
  <si>
    <t>Profit before tax</t>
  </si>
  <si>
    <t>Tax</t>
  </si>
  <si>
    <t>Profit for the period</t>
  </si>
  <si>
    <t>Other comprehensive income, net of tax</t>
  </si>
  <si>
    <t>Items that will not be reclassified to profit or loss</t>
  </si>
  <si>
    <t>Remeasurement in retirement scheme assets</t>
  </si>
  <si>
    <t>Tax on items that will not be reclassified to profit or loss</t>
  </si>
  <si>
    <t>Items that may be reclassified to profit or loss</t>
  </si>
  <si>
    <t>Foreign currency translations</t>
  </si>
  <si>
    <t>Movement in cash flow hedge</t>
  </si>
  <si>
    <t>Tax on items that may be reclassified to profit or loss</t>
  </si>
  <si>
    <t>Total comprehensive income for the period</t>
  </si>
  <si>
    <t>Earnings per share</t>
  </si>
  <si>
    <t>Basic earnings per share</t>
  </si>
  <si>
    <t>Diluted earnings per share</t>
  </si>
  <si>
    <t>Included in merchandising and administration expenses is expected credit loss allowances, related to the Group’s trade and other receivables, of R198.9 million</t>
  </si>
  <si>
    <t>(2022: R89.7 million). Refer to note 17.</t>
  </si>
  <si>
    <t>FY2025</t>
  </si>
  <si>
    <t>FY2024</t>
  </si>
  <si>
    <t>Commissions, dividend and other income</t>
  </si>
  <si>
    <t>Occupancy costs</t>
  </si>
  <si>
    <t>Operations costs</t>
  </si>
  <si>
    <t>Merchandising and administration costs</t>
  </si>
  <si>
    <t>Expected credit loss allowance</t>
  </si>
  <si>
    <t>Funding finance income</t>
  </si>
  <si>
    <t>Leases finance income</t>
  </si>
  <si>
    <t>Funding finance expense</t>
  </si>
  <si>
    <t>Leases finance expense</t>
  </si>
  <si>
    <t>Loss before tax before capital items</t>
  </si>
  <si>
    <t>Net (loss)/profit on disposal of assets</t>
  </si>
  <si>
    <t>Loss from impairments of assets</t>
  </si>
  <si>
    <t>Loss before tax</t>
  </si>
  <si>
    <t>Loss for the period</t>
  </si>
  <si>
    <t>Attributable to:</t>
  </si>
  <si>
    <t>Equity holders of the parent</t>
  </si>
  <si>
    <t>Non-controlling interest</t>
  </si>
  <si>
    <t>Total comprehensive loss for the period</t>
  </si>
  <si>
    <t>Earnings per share^{#}</t>
  </si>
  <si>
    <t>Basic loss per share</t>
  </si>
  <si>
    <t>Diluted loss per share</t>
  </si>
  <si>
    <t>Refer to note 38 for details on the restatement.</t>
  </si>
  <si>
    <t>Non-current assets held for sale</t>
  </si>
  <si>
    <t>Equity attributable to equity holders of parent</t>
  </si>
  <si>
    <t>Trade and other payables</t>
  </si>
  <si>
    <t>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</si>
</sst>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" fontId="0" fillId="3" borderId="3" xfId="0" applyNumberFormat="1" applyFill="1" applyBorder="1"/>
    <xf numFmtId="0" fontId="0" fillId="0" borderId="1" xfId="0" applyBorder="1"/>
    <xf numFmtId="0" fontId="0" fillId="0" borderId="2" xfId="0" applyBorder="1"/>
    <xf numFmtId="2" fontId="0" fillId="0" borderId="3" xfId="0" applyNumberFormat="1" applyBorder="1"/>
    <xf numFmtId="0" fontId="0" fillId="3" borderId="3" xfId="0" applyFill="1" applyBorder="1"/>
    <xf numFmtId="0" fontId="0" fillId="0" borderId="3" xfId="0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AB722C1-B8D5-4BA1-BAB2-BE02CDB853D6}" autoFormatId="16" applyNumberFormats="0" applyBorderFormats="0" applyFontFormats="0" applyPatternFormats="0" applyAlignmentFormats="0" applyWidthHeightFormats="0">
  <queryTableRefresh nextId="11" unboundColumnsRight="1">
    <queryTableFields count="4">
      <queryTableField id="8" name="ITEMS" tableColumnId="1"/>
      <queryTableField id="9" name="FY2023" tableColumnId="3"/>
      <queryTableField id="10" name="FY2022" tableColumnId="4"/>
      <queryTableField id="5" dataBound="0" tableColumnId="2"/>
    </queryTableFields>
    <queryTableDeletedFields count="1">
      <deletedField name="Column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74A2FE-F37D-4A05-BC5C-F15E54387E85}" autoFormatId="16" applyNumberFormats="0" applyBorderFormats="0" applyFontFormats="0" applyPatternFormats="0" applyAlignmentFormats="0" applyWidthHeightFormats="0">
  <queryTableRefresh nextId="14" unboundColumnsRight="1">
    <queryTableFields count="4">
      <queryTableField id="10" name="ITEMS" tableColumnId="1"/>
      <queryTableField id="11" name="FY2023" tableColumnId="3"/>
      <queryTableField id="12" name="FY2022" tableColumnId="4"/>
      <queryTableField id="13" dataBound="0" tableColumnId="5"/>
    </queryTableFields>
    <queryTableDeletedFields count="1">
      <deletedField name="Column2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0B618C-E4CE-440A-AB06-B9C2230AD96B}" autoFormatId="16" applyNumberFormats="0" applyBorderFormats="0" applyFontFormats="0" applyPatternFormats="0" applyAlignmentFormats="0" applyWidthHeightFormats="0">
  <queryTableRefresh nextId="8" unboundColumnsRight="1">
    <queryTableFields count="4">
      <queryTableField id="5" name="ITEMS" tableColumnId="5"/>
      <queryTableField id="6" name="FY2025" tableColumnId="6"/>
      <queryTableField id="7" name="FY2024" tableColumnId="7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5CEC7-33ED-45A3-9373-FDB25C73EF2A}" name="STATEMENT_OF_FINANCILA_POSITION_FOR_FY22_FY23" displayName="STATEMENT_OF_FINANCILA_POSITION_FOR_FY22_FY23" ref="A1:D54" tableType="queryTable" totalsRowShown="0">
  <autoFilter ref="A1:D54" xr:uid="{9495CEC7-33ED-45A3-9373-FDB25C73EF2A}"/>
  <tableColumns count="4">
    <tableColumn id="1" xr3:uid="{C4C71264-1969-4DE8-B18D-F9D84CAF0D62}" uniqueName="1" name="ITEMS" queryTableFieldId="8" dataDxfId="4"/>
    <tableColumn id="3" xr3:uid="{CCECE948-81FD-4B30-95E1-2511105566FE}" uniqueName="3" name="FY2023" queryTableFieldId="9"/>
    <tableColumn id="4" xr3:uid="{C5187AAE-8291-470F-BC64-F3A75731C8F7}" uniqueName="4" name="FY2022" queryTableFieldId="10"/>
    <tableColumn id="2" xr3:uid="{FDC0B67C-B2B5-43F7-A2CA-94FDDD33BE4A}" uniqueName="2" name="Growth rate " queryTableFieldId="5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54CD7A-28BB-4869-80EB-A46A99FD1439}" name="INCOME_STATEMENT_FOR_FY22_FY23" displayName="INCOME_STATEMENT_FOR_FY22_FY23" ref="A1:D53" tableType="queryTable" totalsRowShown="0">
  <autoFilter ref="A1:D53" xr:uid="{C554CD7A-28BB-4869-80EB-A46A99FD1439}"/>
  <tableColumns count="4">
    <tableColumn id="1" xr3:uid="{4C95C72E-A350-4E36-A687-792A4EEAC40E}" uniqueName="1" name="ITEMS" queryTableFieldId="10" dataDxfId="2"/>
    <tableColumn id="3" xr3:uid="{4101A17A-B513-444A-8F8A-7BFB9F6F3BCB}" uniqueName="3" name="FY2023" queryTableFieldId="11"/>
    <tableColumn id="4" xr3:uid="{B37C1060-A3AF-4269-9644-B0D38A7291BE}" uniqueName="4" name="FY2022" queryTableFieldId="12"/>
    <tableColumn id="5" xr3:uid="{8C080E7C-6139-4C1D-B61C-0E39FBF9EF5F}" uniqueName="5" name="Growth rate" queryTableFieldId="1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E78BFF-0FF1-4E5F-B2D4-D853E0A3E5C2}" name="Statement_of_financial_position_FY24_FY25" displayName="Statement_of_financial_position_FY24_FY25" ref="A1:D55" tableType="queryTable" totalsRowShown="0">
  <autoFilter ref="A1:D55" xr:uid="{4AE78BFF-0FF1-4E5F-B2D4-D853E0A3E5C2}"/>
  <tableColumns count="4">
    <tableColumn id="5" xr3:uid="{2B7B5A31-ABDA-4989-87D2-5C4431CB74F5}" uniqueName="5" name="ITEMS" queryTableFieldId="5" dataDxfId="1"/>
    <tableColumn id="6" xr3:uid="{93BF9F13-CDFC-49D1-BEF7-AAF8E2A4B328}" uniqueName="6" name="FY2025" queryTableFieldId="6"/>
    <tableColumn id="7" xr3:uid="{37456AF2-2A18-4718-B429-D0EEF3BA92F4}" uniqueName="7" name="FY2024" queryTableFieldId="7"/>
    <tableColumn id="4" xr3:uid="{D16E1277-0501-478E-AA55-4D5647A8FE12}" uniqueName="4" name="Growth rate " queryTableFieldId="4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B685-6ADF-4C91-A4F5-ECA000ED0E47}">
  <dimension ref="A1:D54"/>
  <sheetViews>
    <sheetView workbookViewId="0">
      <selection activeCell="I4" sqref="I4"/>
    </sheetView>
  </sheetViews>
  <sheetFormatPr defaultRowHeight="15" x14ac:dyDescent="0.25"/>
  <cols>
    <col min="1" max="1" width="37.42578125" bestFit="1" customWidth="1"/>
    <col min="2" max="3" width="9.42578125" bestFit="1" customWidth="1"/>
    <col min="4" max="4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</row>
    <row r="3" spans="1:4" x14ac:dyDescent="0.25">
      <c r="A3" t="s">
        <v>4</v>
      </c>
      <c r="D3" s="1"/>
    </row>
    <row r="4" spans="1:4" x14ac:dyDescent="0.25">
      <c r="A4" t="s">
        <v>4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  <c r="B8">
        <v>1424</v>
      </c>
      <c r="C8">
        <v>987</v>
      </c>
      <c r="D8" s="2">
        <f>(1424.4-987.1)/987.1*100</f>
        <v>44.301489210819575</v>
      </c>
    </row>
    <row r="9" spans="1:4" x14ac:dyDescent="0.25">
      <c r="A9" t="s">
        <v>8</v>
      </c>
      <c r="B9">
        <v>8893</v>
      </c>
      <c r="C9">
        <v>7150</v>
      </c>
      <c r="D9" s="2">
        <f>(8893.2-7150.5)/7150.5*100</f>
        <v>24.371722257184821</v>
      </c>
    </row>
    <row r="10" spans="1:4" x14ac:dyDescent="0.25">
      <c r="A10" t="s">
        <v>9</v>
      </c>
      <c r="B10">
        <v>11195</v>
      </c>
      <c r="C10">
        <v>9589</v>
      </c>
      <c r="D10" s="2"/>
    </row>
    <row r="11" spans="1:4" x14ac:dyDescent="0.25">
      <c r="A11" t="s">
        <v>10</v>
      </c>
      <c r="B11">
        <v>1949</v>
      </c>
      <c r="C11">
        <v>2069</v>
      </c>
      <c r="D11" s="2"/>
    </row>
    <row r="12" spans="1:4" x14ac:dyDescent="0.25">
      <c r="A12" t="s">
        <v>11</v>
      </c>
      <c r="B12">
        <v>734</v>
      </c>
      <c r="C12">
        <v>822</v>
      </c>
      <c r="D12" s="2"/>
    </row>
    <row r="13" spans="1:4" x14ac:dyDescent="0.25">
      <c r="A13" t="s">
        <v>12</v>
      </c>
      <c r="B13">
        <v>72</v>
      </c>
      <c r="C13">
        <v>106</v>
      </c>
      <c r="D13" s="2"/>
    </row>
    <row r="14" spans="1:4" x14ac:dyDescent="0.25">
      <c r="A14" t="s">
        <v>13</v>
      </c>
      <c r="B14">
        <v>118</v>
      </c>
      <c r="C14">
        <v>86</v>
      </c>
      <c r="D14" s="2">
        <f>(117.8-85.9)/85.9*100</f>
        <v>37.136204889406272</v>
      </c>
    </row>
    <row r="15" spans="1:4" x14ac:dyDescent="0.25">
      <c r="A15" t="s">
        <v>14</v>
      </c>
      <c r="B15">
        <v>69</v>
      </c>
      <c r="C15">
        <v>122</v>
      </c>
      <c r="D15" s="2"/>
    </row>
    <row r="16" spans="1:4" x14ac:dyDescent="0.25">
      <c r="A16" t="s">
        <v>15</v>
      </c>
      <c r="B16">
        <v>71</v>
      </c>
      <c r="C16">
        <v>47</v>
      </c>
      <c r="D16" s="2"/>
    </row>
    <row r="17" spans="1:4" x14ac:dyDescent="0.25">
      <c r="A17" t="s">
        <v>16</v>
      </c>
      <c r="B17">
        <v>9</v>
      </c>
      <c r="C17">
        <v>8</v>
      </c>
      <c r="D17" s="2"/>
    </row>
    <row r="18" spans="1:4" x14ac:dyDescent="0.25">
      <c r="A18" t="s">
        <v>17</v>
      </c>
      <c r="B18">
        <v>85</v>
      </c>
      <c r="C18">
        <v>106</v>
      </c>
      <c r="D18" s="2">
        <f>(84.7-106.5)/106.5*100</f>
        <v>-20.469483568075113</v>
      </c>
    </row>
    <row r="19" spans="1:4" x14ac:dyDescent="0.25">
      <c r="A19" t="s">
        <v>4</v>
      </c>
      <c r="B19">
        <v>24620</v>
      </c>
      <c r="C19">
        <v>21094</v>
      </c>
      <c r="D19" s="2"/>
    </row>
    <row r="20" spans="1:4" x14ac:dyDescent="0.25">
      <c r="A20" t="s">
        <v>4</v>
      </c>
      <c r="D20" s="2"/>
    </row>
    <row r="21" spans="1:4" x14ac:dyDescent="0.25">
      <c r="A21" t="s">
        <v>18</v>
      </c>
      <c r="D21" s="2"/>
    </row>
    <row r="22" spans="1:4" x14ac:dyDescent="0.25">
      <c r="A22" t="s">
        <v>19</v>
      </c>
      <c r="B22">
        <v>10647</v>
      </c>
      <c r="C22">
        <v>8277</v>
      </c>
      <c r="D22" s="2">
        <f>(10647-8277.3)/8277.3*100</f>
        <v>28.628900728498436</v>
      </c>
    </row>
    <row r="23" spans="1:4" x14ac:dyDescent="0.25">
      <c r="A23" t="s">
        <v>17</v>
      </c>
      <c r="B23">
        <v>4472</v>
      </c>
      <c r="C23">
        <v>4208</v>
      </c>
      <c r="D23" s="2">
        <f>(4472-4207.6)/4207.6*100</f>
        <v>6.2838672877649877</v>
      </c>
    </row>
    <row r="24" spans="1:4" x14ac:dyDescent="0.25">
      <c r="A24" t="s">
        <v>20</v>
      </c>
      <c r="B24">
        <v>1998</v>
      </c>
      <c r="C24">
        <v>6425</v>
      </c>
      <c r="D24" s="2">
        <f>(1997.8-6425.3)/6425.3*100</f>
        <v>-68.907288375640036</v>
      </c>
    </row>
    <row r="25" spans="1:4" x14ac:dyDescent="0.25">
      <c r="A25" t="s">
        <v>10</v>
      </c>
      <c r="B25">
        <v>333</v>
      </c>
      <c r="C25">
        <v>319</v>
      </c>
      <c r="D25" s="2"/>
    </row>
    <row r="26" spans="1:4" x14ac:dyDescent="0.25">
      <c r="A26" t="s">
        <v>21</v>
      </c>
      <c r="B26">
        <v>23</v>
      </c>
      <c r="C26">
        <v>22</v>
      </c>
      <c r="D26" s="2"/>
    </row>
    <row r="27" spans="1:4" x14ac:dyDescent="0.25">
      <c r="A27" t="s">
        <v>22</v>
      </c>
      <c r="B27">
        <v>22</v>
      </c>
      <c r="C27">
        <v>0</v>
      </c>
      <c r="D27" s="2">
        <f>0</f>
        <v>0</v>
      </c>
    </row>
    <row r="28" spans="1:4" x14ac:dyDescent="0.25">
      <c r="A28" t="s">
        <v>4</v>
      </c>
      <c r="B28">
        <v>17496</v>
      </c>
      <c r="C28">
        <v>19251</v>
      </c>
      <c r="D28" s="2"/>
    </row>
    <row r="29" spans="1:4" x14ac:dyDescent="0.25">
      <c r="A29" t="s">
        <v>23</v>
      </c>
      <c r="B29">
        <v>250</v>
      </c>
      <c r="C29">
        <v>0</v>
      </c>
      <c r="D29" s="2"/>
    </row>
    <row r="30" spans="1:4" x14ac:dyDescent="0.25">
      <c r="A30" t="s">
        <v>24</v>
      </c>
      <c r="B30">
        <v>42365</v>
      </c>
      <c r="C30">
        <v>40344</v>
      </c>
      <c r="D30" s="2"/>
    </row>
    <row r="31" spans="1:4" x14ac:dyDescent="0.25">
      <c r="A31" t="s">
        <v>4</v>
      </c>
      <c r="D31" s="2"/>
    </row>
    <row r="32" spans="1:4" x14ac:dyDescent="0.25">
      <c r="A32" t="s">
        <v>25</v>
      </c>
      <c r="D32" s="2"/>
    </row>
    <row r="33" spans="1:4" x14ac:dyDescent="0.25">
      <c r="A33" t="s">
        <v>26</v>
      </c>
      <c r="D33" s="2"/>
    </row>
    <row r="34" spans="1:4" x14ac:dyDescent="0.25">
      <c r="A34" t="s">
        <v>27</v>
      </c>
      <c r="B34">
        <v>6</v>
      </c>
      <c r="C34">
        <v>6</v>
      </c>
      <c r="D34" s="2" t="s">
        <v>28</v>
      </c>
    </row>
    <row r="35" spans="1:4" x14ac:dyDescent="0.25">
      <c r="A35" t="s">
        <v>29</v>
      </c>
      <c r="B35">
        <v>-644</v>
      </c>
      <c r="C35">
        <v>-702</v>
      </c>
      <c r="D35" s="2">
        <f>(643.8-702.1)/702.1*100</f>
        <v>-8.3036604472297491</v>
      </c>
    </row>
    <row r="36" spans="1:4" x14ac:dyDescent="0.25">
      <c r="A36" t="s">
        <v>30</v>
      </c>
      <c r="B36">
        <v>4685</v>
      </c>
      <c r="C36">
        <v>4717</v>
      </c>
      <c r="D36" s="2">
        <f>(4685.2-4717.3)/4717.3*100</f>
        <v>-0.6804739999576106</v>
      </c>
    </row>
    <row r="37" spans="1:4" x14ac:dyDescent="0.25">
      <c r="A37" t="s">
        <v>31</v>
      </c>
      <c r="B37">
        <v>20</v>
      </c>
      <c r="C37">
        <v>-9</v>
      </c>
      <c r="D37" s="2"/>
    </row>
    <row r="38" spans="1:4" x14ac:dyDescent="0.25">
      <c r="A38" t="s">
        <v>32</v>
      </c>
      <c r="B38">
        <v>-365</v>
      </c>
      <c r="C38">
        <v>-297</v>
      </c>
      <c r="D38" s="2"/>
    </row>
    <row r="39" spans="1:4" x14ac:dyDescent="0.25">
      <c r="A39" t="s">
        <v>33</v>
      </c>
      <c r="B39">
        <v>3703</v>
      </c>
      <c r="C39">
        <v>3716</v>
      </c>
      <c r="D39" s="2"/>
    </row>
    <row r="40" spans="1:4" x14ac:dyDescent="0.25">
      <c r="A40" t="s">
        <v>34</v>
      </c>
      <c r="D40" s="2"/>
    </row>
    <row r="41" spans="1:4" x14ac:dyDescent="0.25">
      <c r="A41" t="s">
        <v>35</v>
      </c>
      <c r="B41">
        <v>15133</v>
      </c>
      <c r="C41">
        <v>13656</v>
      </c>
      <c r="D41" s="2">
        <f>(15133.2-13656.5)/13656.5*100</f>
        <v>10.81316589169993</v>
      </c>
    </row>
    <row r="42" spans="1:4" x14ac:dyDescent="0.25">
      <c r="A42" t="s">
        <v>4</v>
      </c>
      <c r="B42">
        <v>15133</v>
      </c>
      <c r="C42">
        <v>13656</v>
      </c>
      <c r="D42" s="2"/>
    </row>
    <row r="43" spans="1:4" x14ac:dyDescent="0.25">
      <c r="A43" t="s">
        <v>36</v>
      </c>
      <c r="D43" s="2"/>
    </row>
    <row r="44" spans="1:4" x14ac:dyDescent="0.25">
      <c r="A44" t="s">
        <v>4</v>
      </c>
      <c r="D44" s="2"/>
    </row>
    <row r="45" spans="1:4" x14ac:dyDescent="0.25">
      <c r="A45" t="s">
        <v>37</v>
      </c>
      <c r="B45">
        <v>14661</v>
      </c>
      <c r="C45">
        <v>12976</v>
      </c>
      <c r="D45" s="2">
        <f>(14661-12976.4)/12976.4*100</f>
        <v>12.982028914028549</v>
      </c>
    </row>
    <row r="46" spans="1:4" x14ac:dyDescent="0.25">
      <c r="A46" t="s">
        <v>35</v>
      </c>
      <c r="B46">
        <v>2471</v>
      </c>
      <c r="C46">
        <v>2431</v>
      </c>
      <c r="D46" s="2"/>
    </row>
    <row r="47" spans="1:4" x14ac:dyDescent="0.25">
      <c r="A47" t="s">
        <v>38</v>
      </c>
      <c r="B47">
        <v>378</v>
      </c>
      <c r="C47">
        <v>385</v>
      </c>
      <c r="D47" s="2">
        <f>(377.9-385.1)/385.1*100</f>
        <v>-1.8696442482472202</v>
      </c>
    </row>
    <row r="48" spans="1:4" x14ac:dyDescent="0.25">
      <c r="A48" t="s">
        <v>39</v>
      </c>
      <c r="B48">
        <v>2800</v>
      </c>
      <c r="C48">
        <v>2800</v>
      </c>
      <c r="D48" s="2" t="s">
        <v>28</v>
      </c>
    </row>
    <row r="49" spans="1:4" x14ac:dyDescent="0.25">
      <c r="A49" t="s">
        <v>40</v>
      </c>
      <c r="B49">
        <v>2869</v>
      </c>
      <c r="C49">
        <v>4003</v>
      </c>
      <c r="D49" s="2">
        <f>(2869.4-4003.1)/4003.1*100</f>
        <v>-28.320551572531283</v>
      </c>
    </row>
    <row r="50" spans="1:4" x14ac:dyDescent="0.25">
      <c r="A50" t="s">
        <v>41</v>
      </c>
      <c r="B50">
        <v>270</v>
      </c>
      <c r="C50">
        <v>280</v>
      </c>
    </row>
    <row r="51" spans="1:4" x14ac:dyDescent="0.25">
      <c r="A51" t="s">
        <v>42</v>
      </c>
      <c r="B51">
        <v>80</v>
      </c>
      <c r="C51">
        <v>89</v>
      </c>
    </row>
    <row r="52" spans="1:4" x14ac:dyDescent="0.25">
      <c r="A52" t="s">
        <v>22</v>
      </c>
      <c r="B52">
        <v>0</v>
      </c>
      <c r="C52">
        <v>8</v>
      </c>
    </row>
    <row r="53" spans="1:4" x14ac:dyDescent="0.25">
      <c r="A53" t="s">
        <v>4</v>
      </c>
      <c r="B53">
        <v>23529</v>
      </c>
      <c r="C53">
        <v>22972</v>
      </c>
    </row>
    <row r="54" spans="1:4" x14ac:dyDescent="0.25">
      <c r="A54" t="s">
        <v>43</v>
      </c>
      <c r="B54">
        <v>42365</v>
      </c>
      <c r="C54">
        <v>40344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9948-C76B-4F1F-BA77-0042FE743118}">
  <dimension ref="A1:D53"/>
  <sheetViews>
    <sheetView workbookViewId="0">
      <selection sqref="A1:D53"/>
    </sheetView>
  </sheetViews>
  <sheetFormatPr defaultRowHeight="15" x14ac:dyDescent="0.25"/>
  <cols>
    <col min="1" max="1" width="145.140625" bestFit="1" customWidth="1"/>
    <col min="2" max="3" width="9.42578125" bestFit="1" customWidth="1"/>
    <col min="4" max="4" width="1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44</v>
      </c>
    </row>
    <row r="2" spans="1:4" x14ac:dyDescent="0.25">
      <c r="A2" t="s">
        <v>4</v>
      </c>
    </row>
    <row r="3" spans="1:4" x14ac:dyDescent="0.25">
      <c r="A3" t="s">
        <v>4</v>
      </c>
    </row>
    <row r="4" spans="1:4" x14ac:dyDescent="0.25">
      <c r="A4" t="s">
        <v>4</v>
      </c>
    </row>
    <row r="5" spans="1:4" x14ac:dyDescent="0.25">
      <c r="A5" t="s">
        <v>45</v>
      </c>
      <c r="B5">
        <v>109278</v>
      </c>
      <c r="C5">
        <v>100902</v>
      </c>
      <c r="D5" s="2">
        <f>(109278.2-100902.4)/100902.4*100</f>
        <v>8.3008927438792366</v>
      </c>
    </row>
    <row r="6" spans="1:4" x14ac:dyDescent="0.25">
      <c r="A6" t="s">
        <v>4</v>
      </c>
    </row>
    <row r="7" spans="1:4" x14ac:dyDescent="0.25">
      <c r="A7" t="s">
        <v>46</v>
      </c>
      <c r="B7">
        <v>106562</v>
      </c>
      <c r="C7">
        <v>97873</v>
      </c>
      <c r="D7" s="2">
        <f>(106561.8-97872.8)/97872.8*100</f>
        <v>8.8778496170539718</v>
      </c>
    </row>
    <row r="8" spans="1:4" x14ac:dyDescent="0.25">
      <c r="A8" t="s">
        <v>47</v>
      </c>
      <c r="B8">
        <v>85625</v>
      </c>
      <c r="C8">
        <v>79477</v>
      </c>
      <c r="D8" s="2">
        <f>(85625.2-79476.7)/79476.7*100</f>
        <v>7.7362296119491623</v>
      </c>
    </row>
    <row r="9" spans="1:4" x14ac:dyDescent="0.25">
      <c r="A9" t="s">
        <v>48</v>
      </c>
      <c r="B9">
        <v>20937</v>
      </c>
      <c r="C9">
        <v>18396</v>
      </c>
      <c r="D9" s="2">
        <f>(20936.6-18396.3)/18396.3*100</f>
        <v>13.808755021390168</v>
      </c>
    </row>
    <row r="10" spans="1:4" x14ac:dyDescent="0.25">
      <c r="A10" t="s">
        <v>49</v>
      </c>
      <c r="B10">
        <v>2265</v>
      </c>
      <c r="C10">
        <v>2505</v>
      </c>
      <c r="D10" s="2">
        <f>(2265.3-2505.1)/2505.1*100</f>
        <v>-9.5724721568001172</v>
      </c>
    </row>
    <row r="11" spans="1:4" x14ac:dyDescent="0.25">
      <c r="A11" t="s">
        <v>50</v>
      </c>
      <c r="B11">
        <v>448</v>
      </c>
      <c r="C11">
        <v>428</v>
      </c>
    </row>
    <row r="12" spans="1:4" x14ac:dyDescent="0.25">
      <c r="A12" t="s">
        <v>51</v>
      </c>
      <c r="B12">
        <v>157</v>
      </c>
      <c r="C12">
        <v>116</v>
      </c>
    </row>
    <row r="13" spans="1:4" x14ac:dyDescent="0.25">
      <c r="A13" t="s">
        <v>52</v>
      </c>
      <c r="B13">
        <v>1400</v>
      </c>
      <c r="C13">
        <v>1213</v>
      </c>
    </row>
    <row r="14" spans="1:4" x14ac:dyDescent="0.25">
      <c r="A14" t="s">
        <v>53</v>
      </c>
      <c r="B14">
        <v>261</v>
      </c>
      <c r="C14">
        <v>748</v>
      </c>
    </row>
    <row r="15" spans="1:4" x14ac:dyDescent="0.25">
      <c r="A15" t="s">
        <v>4</v>
      </c>
    </row>
    <row r="16" spans="1:4" x14ac:dyDescent="0.25">
      <c r="A16" t="s">
        <v>54</v>
      </c>
      <c r="B16">
        <v>20154</v>
      </c>
      <c r="C16">
        <v>18015</v>
      </c>
      <c r="D16" s="2">
        <f>(20153.9-18014.7)/18014.7*100</f>
        <v>11.874746734611181</v>
      </c>
    </row>
    <row r="17" spans="1:4" x14ac:dyDescent="0.25">
      <c r="A17" t="s">
        <v>55</v>
      </c>
      <c r="B17">
        <v>8348</v>
      </c>
      <c r="C17">
        <v>7836</v>
      </c>
    </row>
    <row r="18" spans="1:4" x14ac:dyDescent="0.25">
      <c r="A18" t="s">
        <v>56</v>
      </c>
      <c r="B18">
        <v>3054</v>
      </c>
      <c r="C18">
        <v>2662</v>
      </c>
    </row>
    <row r="19" spans="1:4" x14ac:dyDescent="0.25">
      <c r="A19" t="s">
        <v>57</v>
      </c>
      <c r="B19">
        <v>5384</v>
      </c>
      <c r="C19">
        <v>4535</v>
      </c>
    </row>
    <row r="20" spans="1:4" x14ac:dyDescent="0.25">
      <c r="A20" t="s">
        <v>58</v>
      </c>
      <c r="B20">
        <v>3368</v>
      </c>
      <c r="C20">
        <v>2981</v>
      </c>
    </row>
    <row r="21" spans="1:4" x14ac:dyDescent="0.25">
      <c r="A21" t="s">
        <v>4</v>
      </c>
    </row>
    <row r="22" spans="1:4" x14ac:dyDescent="0.25">
      <c r="A22" t="s">
        <v>59</v>
      </c>
      <c r="B22">
        <v>3048</v>
      </c>
      <c r="C22">
        <v>2886</v>
      </c>
      <c r="D22" s="2">
        <f>(3048-2886.5)/2886.5*100</f>
        <v>5.5950112593105841</v>
      </c>
    </row>
    <row r="23" spans="1:4" x14ac:dyDescent="0.25">
      <c r="A23" t="s">
        <v>60</v>
      </c>
      <c r="B23">
        <v>451</v>
      </c>
      <c r="C23">
        <v>524</v>
      </c>
      <c r="D23" t="s">
        <v>61</v>
      </c>
    </row>
    <row r="24" spans="1:4" x14ac:dyDescent="0.25">
      <c r="A24" t="s">
        <v>62</v>
      </c>
      <c r="B24">
        <v>1774</v>
      </c>
      <c r="C24">
        <v>1675</v>
      </c>
    </row>
    <row r="25" spans="1:4" x14ac:dyDescent="0.25">
      <c r="A25" t="s">
        <v>63</v>
      </c>
      <c r="B25">
        <v>75</v>
      </c>
      <c r="C25">
        <v>72</v>
      </c>
    </row>
    <row r="26" spans="1:4" x14ac:dyDescent="0.25">
      <c r="A26" t="s">
        <v>64</v>
      </c>
      <c r="B26">
        <v>1800</v>
      </c>
      <c r="C26">
        <v>1808</v>
      </c>
      <c r="D26" s="2">
        <f>(1800.2-1807.7)/1807.7*100</f>
        <v>-0.41489185152403607</v>
      </c>
    </row>
    <row r="27" spans="1:4" x14ac:dyDescent="0.25">
      <c r="A27" t="s">
        <v>65</v>
      </c>
      <c r="B27">
        <v>93</v>
      </c>
      <c r="C27">
        <v>46</v>
      </c>
    </row>
    <row r="28" spans="1:4" x14ac:dyDescent="0.25">
      <c r="A28" t="s">
        <v>66</v>
      </c>
      <c r="B28">
        <v>20</v>
      </c>
      <c r="C28">
        <v>242</v>
      </c>
    </row>
    <row r="29" spans="1:4" x14ac:dyDescent="0.25">
      <c r="A29" t="s">
        <v>67</v>
      </c>
      <c r="B29">
        <v>67</v>
      </c>
      <c r="C29">
        <v>274</v>
      </c>
    </row>
    <row r="30" spans="1:4" x14ac:dyDescent="0.25">
      <c r="A30" t="s">
        <v>68</v>
      </c>
      <c r="B30">
        <v>6</v>
      </c>
      <c r="C30">
        <v>14</v>
      </c>
    </row>
    <row r="31" spans="1:4" x14ac:dyDescent="0.25">
      <c r="A31" t="s">
        <v>4</v>
      </c>
    </row>
    <row r="32" spans="1:4" x14ac:dyDescent="0.25">
      <c r="A32" t="s">
        <v>69</v>
      </c>
      <c r="B32">
        <v>1708</v>
      </c>
      <c r="C32">
        <v>1762</v>
      </c>
      <c r="D32" s="2">
        <f>(1707.6-1761.5)/1761.5*100</f>
        <v>-3.0598921373829175</v>
      </c>
    </row>
    <row r="33" spans="1:4" x14ac:dyDescent="0.25">
      <c r="A33" t="s">
        <v>70</v>
      </c>
      <c r="B33">
        <v>538</v>
      </c>
      <c r="C33">
        <v>547</v>
      </c>
      <c r="D33" s="2">
        <f>(537.7-547)/547*100</f>
        <v>-1.7001828153564817</v>
      </c>
    </row>
    <row r="34" spans="1:4" x14ac:dyDescent="0.25">
      <c r="A34" t="s">
        <v>71</v>
      </c>
      <c r="B34">
        <v>1170</v>
      </c>
      <c r="C34">
        <v>1214</v>
      </c>
      <c r="D34" s="2">
        <f>(1169.9-1214.5)/1214.5*100</f>
        <v>-3.6722931247426849</v>
      </c>
    </row>
    <row r="35" spans="1:4" x14ac:dyDescent="0.25">
      <c r="A35" t="s">
        <v>4</v>
      </c>
    </row>
    <row r="36" spans="1:4" x14ac:dyDescent="0.25">
      <c r="A36" t="s">
        <v>72</v>
      </c>
    </row>
    <row r="37" spans="1:4" x14ac:dyDescent="0.25">
      <c r="A37" t="s">
        <v>4</v>
      </c>
    </row>
    <row r="38" spans="1:4" x14ac:dyDescent="0.25">
      <c r="A38" t="s">
        <v>73</v>
      </c>
      <c r="B38">
        <v>0</v>
      </c>
      <c r="C38">
        <v>25</v>
      </c>
    </row>
    <row r="39" spans="1:4" x14ac:dyDescent="0.25">
      <c r="A39" t="s">
        <v>74</v>
      </c>
      <c r="B39">
        <v>2</v>
      </c>
      <c r="C39">
        <v>35</v>
      </c>
    </row>
    <row r="40" spans="1:4" x14ac:dyDescent="0.25">
      <c r="A40" t="s">
        <v>75</v>
      </c>
      <c r="B40">
        <v>1</v>
      </c>
      <c r="C40">
        <v>10</v>
      </c>
    </row>
    <row r="41" spans="1:4" x14ac:dyDescent="0.25">
      <c r="A41" t="s">
        <v>76</v>
      </c>
      <c r="B41">
        <v>38</v>
      </c>
      <c r="C41">
        <v>16</v>
      </c>
    </row>
    <row r="42" spans="1:4" x14ac:dyDescent="0.25">
      <c r="A42" t="s">
        <v>77</v>
      </c>
      <c r="B42">
        <v>67</v>
      </c>
      <c r="C42">
        <v>19</v>
      </c>
    </row>
    <row r="43" spans="1:4" x14ac:dyDescent="0.25">
      <c r="A43" t="s">
        <v>78</v>
      </c>
      <c r="B43">
        <v>30</v>
      </c>
      <c r="C43">
        <v>0</v>
      </c>
    </row>
    <row r="44" spans="1:4" x14ac:dyDescent="0.25">
      <c r="A44" t="s">
        <v>79</v>
      </c>
      <c r="B44">
        <v>0</v>
      </c>
      <c r="C44">
        <v>3</v>
      </c>
    </row>
    <row r="45" spans="1:4" x14ac:dyDescent="0.25">
      <c r="A45" t="s">
        <v>4</v>
      </c>
    </row>
    <row r="46" spans="1:4" x14ac:dyDescent="0.25">
      <c r="A46" t="s">
        <v>80</v>
      </c>
      <c r="B46">
        <v>1132</v>
      </c>
      <c r="C46">
        <v>1256</v>
      </c>
      <c r="D46" s="2">
        <f>(1131.6-1256.1)/1256.1*100</f>
        <v>-9.9116312395509922</v>
      </c>
    </row>
    <row r="47" spans="1:4" x14ac:dyDescent="0.25">
      <c r="A47" t="s">
        <v>4</v>
      </c>
    </row>
    <row r="48" spans="1:4" x14ac:dyDescent="0.25">
      <c r="A48" t="s">
        <v>81</v>
      </c>
      <c r="B48">
        <v>0</v>
      </c>
      <c r="C48">
        <v>0</v>
      </c>
    </row>
    <row r="49" spans="1:4" x14ac:dyDescent="0.25">
      <c r="A49" t="s">
        <v>82</v>
      </c>
      <c r="B49">
        <v>243</v>
      </c>
      <c r="C49">
        <v>253</v>
      </c>
      <c r="D49" s="2">
        <f>(243.37-253.34)/253.34*100</f>
        <v>-3.9354227520328404</v>
      </c>
    </row>
    <row r="50" spans="1:4" x14ac:dyDescent="0.25">
      <c r="A50" t="s">
        <v>83</v>
      </c>
      <c r="B50">
        <v>243</v>
      </c>
      <c r="C50">
        <v>252</v>
      </c>
    </row>
    <row r="51" spans="1:4" x14ac:dyDescent="0.25">
      <c r="A51" t="s">
        <v>4</v>
      </c>
    </row>
    <row r="52" spans="1:4" x14ac:dyDescent="0.25">
      <c r="A52" t="s">
        <v>84</v>
      </c>
    </row>
    <row r="53" spans="1:4" x14ac:dyDescent="0.25">
      <c r="A53" t="s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9766-E9C6-41C0-BB5F-34F38F1AB7DE}">
  <dimension ref="A1:D50"/>
  <sheetViews>
    <sheetView workbookViewId="0">
      <selection activeCell="E4" sqref="E4"/>
    </sheetView>
  </sheetViews>
  <sheetFormatPr defaultRowHeight="15" x14ac:dyDescent="0.25"/>
  <sheetData>
    <row r="1" spans="1:4" x14ac:dyDescent="0.25">
      <c r="A1" s="3" t="s">
        <v>0</v>
      </c>
      <c r="B1" s="4" t="s">
        <v>86</v>
      </c>
      <c r="C1" s="4" t="s">
        <v>87</v>
      </c>
      <c r="D1" s="5" t="s">
        <v>44</v>
      </c>
    </row>
    <row r="2" spans="1:4" x14ac:dyDescent="0.25">
      <c r="A2" s="6" t="s">
        <v>45</v>
      </c>
      <c r="B2" s="7">
        <v>122124</v>
      </c>
      <c r="C2" s="7">
        <v>115367</v>
      </c>
      <c r="D2" s="8">
        <v>5.8569608293532811</v>
      </c>
    </row>
    <row r="3" spans="1:4" x14ac:dyDescent="0.25">
      <c r="A3" s="9" t="s">
        <v>46</v>
      </c>
      <c r="B3" s="10">
        <v>118610</v>
      </c>
      <c r="C3" s="10">
        <v>112295</v>
      </c>
      <c r="D3" s="11">
        <v>5.623580747139231</v>
      </c>
    </row>
    <row r="4" spans="1:4" x14ac:dyDescent="0.25">
      <c r="A4" s="6" t="s">
        <v>47</v>
      </c>
      <c r="B4" s="7">
        <v>96846</v>
      </c>
      <c r="C4" s="7">
        <v>92015</v>
      </c>
      <c r="D4" s="8">
        <v>5.2502309406075094</v>
      </c>
    </row>
    <row r="5" spans="1:4" x14ac:dyDescent="0.25">
      <c r="A5" s="9" t="s">
        <v>48</v>
      </c>
      <c r="B5" s="10">
        <v>21764</v>
      </c>
      <c r="C5" s="10">
        <v>20280</v>
      </c>
      <c r="D5" s="11">
        <v>7.3175542406311633</v>
      </c>
    </row>
    <row r="6" spans="1:4" x14ac:dyDescent="0.25">
      <c r="A6" s="6" t="s">
        <v>49</v>
      </c>
      <c r="B6" s="7">
        <v>2949</v>
      </c>
      <c r="C6" s="7">
        <v>2643</v>
      </c>
      <c r="D6" s="8">
        <v>11.577752553916005</v>
      </c>
    </row>
    <row r="7" spans="1:4" x14ac:dyDescent="0.25">
      <c r="A7" s="9" t="s">
        <v>50</v>
      </c>
      <c r="B7" s="10">
        <v>1244</v>
      </c>
      <c r="C7" s="10">
        <v>1022</v>
      </c>
      <c r="D7" s="11"/>
    </row>
    <row r="8" spans="1:4" x14ac:dyDescent="0.25">
      <c r="A8" s="6" t="s">
        <v>51</v>
      </c>
      <c r="B8" s="7">
        <v>111</v>
      </c>
      <c r="C8" s="7">
        <v>102</v>
      </c>
      <c r="D8" s="8"/>
    </row>
    <row r="9" spans="1:4" x14ac:dyDescent="0.25">
      <c r="A9" s="9" t="s">
        <v>88</v>
      </c>
      <c r="B9" s="10">
        <v>1594</v>
      </c>
      <c r="C9" s="10">
        <v>1519</v>
      </c>
      <c r="D9" s="11"/>
    </row>
    <row r="10" spans="1:4" x14ac:dyDescent="0.25">
      <c r="A10" s="6" t="s">
        <v>54</v>
      </c>
      <c r="B10" s="7">
        <v>22954</v>
      </c>
      <c r="C10" s="7">
        <v>22518</v>
      </c>
      <c r="D10" s="8">
        <v>1.9362287947419843</v>
      </c>
    </row>
    <row r="11" spans="1:4" x14ac:dyDescent="0.25">
      <c r="A11" s="9" t="s">
        <v>55</v>
      </c>
      <c r="B11" s="10">
        <v>9516</v>
      </c>
      <c r="C11" s="10">
        <v>9000</v>
      </c>
      <c r="D11" s="11"/>
    </row>
    <row r="12" spans="1:4" x14ac:dyDescent="0.25">
      <c r="A12" s="6" t="s">
        <v>89</v>
      </c>
      <c r="B12" s="7">
        <v>3460</v>
      </c>
      <c r="C12" s="7">
        <v>3408</v>
      </c>
      <c r="D12" s="8"/>
    </row>
    <row r="13" spans="1:4" x14ac:dyDescent="0.25">
      <c r="A13" s="9" t="s">
        <v>90</v>
      </c>
      <c r="B13" s="10">
        <v>6217</v>
      </c>
      <c r="C13" s="10">
        <v>6118</v>
      </c>
      <c r="D13" s="11"/>
    </row>
    <row r="14" spans="1:4" x14ac:dyDescent="0.25">
      <c r="A14" s="6" t="s">
        <v>91</v>
      </c>
      <c r="B14" s="7">
        <v>3557</v>
      </c>
      <c r="C14" s="7">
        <v>3358</v>
      </c>
      <c r="D14" s="8"/>
    </row>
    <row r="15" spans="1:4" x14ac:dyDescent="0.25">
      <c r="A15" s="9" t="s">
        <v>92</v>
      </c>
      <c r="B15" s="10">
        <v>204</v>
      </c>
      <c r="C15" s="10">
        <v>634</v>
      </c>
      <c r="D15" s="11"/>
    </row>
    <row r="16" spans="1:4" x14ac:dyDescent="0.25">
      <c r="A16" s="6" t="s">
        <v>59</v>
      </c>
      <c r="B16" s="7">
        <v>1759</v>
      </c>
      <c r="C16" s="7">
        <v>405</v>
      </c>
      <c r="D16" s="8">
        <v>334.32098765432102</v>
      </c>
    </row>
    <row r="17" spans="1:4" x14ac:dyDescent="0.25">
      <c r="A17" s="9" t="s">
        <v>60</v>
      </c>
      <c r="B17" s="10">
        <v>565</v>
      </c>
      <c r="C17" s="10">
        <v>429</v>
      </c>
      <c r="D17" s="11"/>
    </row>
    <row r="18" spans="1:4" x14ac:dyDescent="0.25">
      <c r="A18" s="6" t="s">
        <v>93</v>
      </c>
      <c r="B18" s="7">
        <v>349</v>
      </c>
      <c r="C18" s="7">
        <v>227</v>
      </c>
      <c r="D18" s="8"/>
    </row>
    <row r="19" spans="1:4" x14ac:dyDescent="0.25">
      <c r="A19" s="9" t="s">
        <v>94</v>
      </c>
      <c r="B19" s="10">
        <v>216</v>
      </c>
      <c r="C19" s="10">
        <v>202</v>
      </c>
      <c r="D19" s="11"/>
    </row>
    <row r="20" spans="1:4" x14ac:dyDescent="0.25">
      <c r="A20" s="6" t="s">
        <v>62</v>
      </c>
      <c r="B20" s="7">
        <v>2561</v>
      </c>
      <c r="C20" s="7">
        <v>2467</v>
      </c>
      <c r="D20" s="8"/>
    </row>
    <row r="21" spans="1:4" x14ac:dyDescent="0.25">
      <c r="A21" s="9" t="s">
        <v>95</v>
      </c>
      <c r="B21" s="10">
        <v>792</v>
      </c>
      <c r="C21" s="10">
        <v>836</v>
      </c>
      <c r="D21" s="11"/>
    </row>
    <row r="22" spans="1:4" x14ac:dyDescent="0.25">
      <c r="A22" s="6" t="s">
        <v>96</v>
      </c>
      <c r="B22" s="7">
        <v>1769</v>
      </c>
      <c r="C22" s="7">
        <v>1631</v>
      </c>
      <c r="D22" s="8"/>
    </row>
    <row r="23" spans="1:4" x14ac:dyDescent="0.25">
      <c r="A23" s="9" t="s">
        <v>63</v>
      </c>
      <c r="B23" s="10">
        <v>0</v>
      </c>
      <c r="C23" s="10">
        <v>212</v>
      </c>
      <c r="D23" s="11"/>
    </row>
    <row r="24" spans="1:4" x14ac:dyDescent="0.25">
      <c r="A24" s="6" t="s">
        <v>97</v>
      </c>
      <c r="B24" s="7">
        <v>237</v>
      </c>
      <c r="C24" s="7">
        <v>1421</v>
      </c>
      <c r="D24" s="8">
        <v>83.321604503870518</v>
      </c>
    </row>
    <row r="25" spans="1:4" x14ac:dyDescent="0.25">
      <c r="A25" s="9" t="s">
        <v>65</v>
      </c>
      <c r="B25" s="10">
        <v>388</v>
      </c>
      <c r="C25" s="10">
        <v>2868</v>
      </c>
      <c r="D25" s="11"/>
    </row>
    <row r="26" spans="1:4" x14ac:dyDescent="0.25">
      <c r="A26" s="6" t="s">
        <v>98</v>
      </c>
      <c r="B26" s="7">
        <v>94</v>
      </c>
      <c r="C26" s="7">
        <v>369</v>
      </c>
      <c r="D26" s="8"/>
    </row>
    <row r="27" spans="1:4" x14ac:dyDescent="0.25">
      <c r="A27" s="9" t="s">
        <v>99</v>
      </c>
      <c r="B27" s="10">
        <v>294</v>
      </c>
      <c r="C27" s="10">
        <v>2983</v>
      </c>
      <c r="D27" s="11"/>
    </row>
    <row r="28" spans="1:4" x14ac:dyDescent="0.25">
      <c r="A28" s="6" t="s">
        <v>68</v>
      </c>
      <c r="B28" s="7">
        <v>0</v>
      </c>
      <c r="C28" s="7">
        <v>254</v>
      </c>
      <c r="D28" s="8"/>
    </row>
    <row r="29" spans="1:4" x14ac:dyDescent="0.25">
      <c r="A29" s="9" t="s">
        <v>100</v>
      </c>
      <c r="B29" s="10">
        <v>625</v>
      </c>
      <c r="C29" s="10">
        <v>4289</v>
      </c>
      <c r="D29" s="11">
        <v>-85.427838657029611</v>
      </c>
    </row>
    <row r="30" spans="1:4" x14ac:dyDescent="0.25">
      <c r="A30" s="6" t="s">
        <v>70</v>
      </c>
      <c r="B30" s="7">
        <v>26</v>
      </c>
      <c r="C30" s="7">
        <v>988</v>
      </c>
      <c r="D30" s="8">
        <v>-97.368421052631575</v>
      </c>
    </row>
    <row r="31" spans="1:4" x14ac:dyDescent="0.25">
      <c r="A31" s="9" t="s">
        <v>101</v>
      </c>
      <c r="B31" s="10">
        <v>651</v>
      </c>
      <c r="C31" s="10">
        <v>3301</v>
      </c>
      <c r="D31" s="11"/>
    </row>
    <row r="32" spans="1:4" x14ac:dyDescent="0.25">
      <c r="A32" s="6" t="s">
        <v>102</v>
      </c>
      <c r="B32" s="7"/>
      <c r="C32" s="7"/>
      <c r="D32" s="8"/>
    </row>
    <row r="33" spans="1:4" x14ac:dyDescent="0.25">
      <c r="A33" s="9" t="s">
        <v>103</v>
      </c>
      <c r="B33" s="10">
        <v>736</v>
      </c>
      <c r="C33" s="10">
        <v>3301</v>
      </c>
      <c r="D33" s="11">
        <v>80.278703423205087</v>
      </c>
    </row>
    <row r="34" spans="1:4" x14ac:dyDescent="0.25">
      <c r="A34" s="6" t="s">
        <v>104</v>
      </c>
      <c r="B34" s="7">
        <v>85</v>
      </c>
      <c r="C34" s="7">
        <v>0</v>
      </c>
      <c r="D34" s="12"/>
    </row>
    <row r="35" spans="1:4" x14ac:dyDescent="0.25">
      <c r="A35" s="9" t="s">
        <v>72</v>
      </c>
      <c r="B35" s="10"/>
      <c r="C35" s="10"/>
      <c r="D35" s="13"/>
    </row>
    <row r="36" spans="1:4" x14ac:dyDescent="0.25">
      <c r="A36" s="6" t="s">
        <v>73</v>
      </c>
      <c r="B36" s="7">
        <v>2</v>
      </c>
      <c r="C36" s="7">
        <v>37</v>
      </c>
      <c r="D36" s="12"/>
    </row>
    <row r="37" spans="1:4" x14ac:dyDescent="0.25">
      <c r="A37" s="9" t="s">
        <v>74</v>
      </c>
      <c r="B37" s="10">
        <v>3</v>
      </c>
      <c r="C37" s="10">
        <v>51</v>
      </c>
      <c r="D37" s="13"/>
    </row>
    <row r="38" spans="1:4" x14ac:dyDescent="0.25">
      <c r="A38" s="6" t="s">
        <v>75</v>
      </c>
      <c r="B38" s="7">
        <v>1</v>
      </c>
      <c r="C38" s="7">
        <v>14</v>
      </c>
      <c r="D38" s="12"/>
    </row>
    <row r="39" spans="1:4" x14ac:dyDescent="0.25">
      <c r="A39" s="9" t="s">
        <v>76</v>
      </c>
      <c r="B39" s="10">
        <v>9</v>
      </c>
      <c r="C39" s="10">
        <v>44</v>
      </c>
      <c r="D39" s="13"/>
    </row>
    <row r="40" spans="1:4" x14ac:dyDescent="0.25">
      <c r="A40" s="6" t="s">
        <v>77</v>
      </c>
      <c r="B40" s="7">
        <v>8</v>
      </c>
      <c r="C40" s="7">
        <v>24</v>
      </c>
      <c r="D40" s="12"/>
    </row>
    <row r="41" spans="1:4" x14ac:dyDescent="0.25">
      <c r="A41" s="9" t="s">
        <v>78</v>
      </c>
      <c r="B41" s="10">
        <v>1</v>
      </c>
      <c r="C41" s="10">
        <v>20</v>
      </c>
      <c r="D41" s="13"/>
    </row>
    <row r="42" spans="1:4" x14ac:dyDescent="0.25">
      <c r="A42" s="6" t="s">
        <v>79</v>
      </c>
      <c r="B42" s="7">
        <v>0</v>
      </c>
      <c r="C42" s="7">
        <v>0</v>
      </c>
      <c r="D42" s="12"/>
    </row>
    <row r="43" spans="1:4" x14ac:dyDescent="0.25">
      <c r="A43" s="9" t="s">
        <v>105</v>
      </c>
      <c r="B43" s="10">
        <v>658</v>
      </c>
      <c r="C43" s="10">
        <v>3308</v>
      </c>
      <c r="D43" s="13"/>
    </row>
    <row r="44" spans="1:4" x14ac:dyDescent="0.25">
      <c r="A44" s="6" t="s">
        <v>102</v>
      </c>
      <c r="B44" s="7"/>
      <c r="C44" s="7"/>
      <c r="D44" s="12"/>
    </row>
    <row r="45" spans="1:4" x14ac:dyDescent="0.25">
      <c r="A45" s="9" t="s">
        <v>103</v>
      </c>
      <c r="B45" s="10">
        <v>743</v>
      </c>
      <c r="C45" s="10">
        <v>3308</v>
      </c>
      <c r="D45" s="13"/>
    </row>
    <row r="46" spans="1:4" x14ac:dyDescent="0.25">
      <c r="A46" s="6" t="s">
        <v>104</v>
      </c>
      <c r="B46" s="7">
        <v>85</v>
      </c>
      <c r="C46" s="7">
        <v>0</v>
      </c>
      <c r="D46" s="12"/>
    </row>
    <row r="47" spans="1:4" x14ac:dyDescent="0.25">
      <c r="A47" s="9" t="s">
        <v>106</v>
      </c>
      <c r="B47" s="10">
        <v>0</v>
      </c>
      <c r="C47" s="10">
        <v>0</v>
      </c>
      <c r="D47" s="13">
        <v>0</v>
      </c>
    </row>
    <row r="48" spans="1:4" x14ac:dyDescent="0.25">
      <c r="A48" s="6" t="s">
        <v>107</v>
      </c>
      <c r="B48" s="7">
        <v>111</v>
      </c>
      <c r="C48" s="7">
        <v>582</v>
      </c>
      <c r="D48" s="8">
        <v>80.921199621895681</v>
      </c>
    </row>
    <row r="49" spans="1:4" x14ac:dyDescent="0.25">
      <c r="A49" s="9" t="s">
        <v>108</v>
      </c>
      <c r="B49" s="10">
        <v>111</v>
      </c>
      <c r="C49" s="10">
        <v>580</v>
      </c>
      <c r="D49" s="13"/>
    </row>
    <row r="50" spans="1:4" x14ac:dyDescent="0.25">
      <c r="A50" s="6" t="s">
        <v>109</v>
      </c>
      <c r="B50" s="7"/>
      <c r="C50" s="7"/>
      <c r="D5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266D-0B07-4CB9-B605-1A5B5DF717E6}">
  <dimension ref="A1:D55"/>
  <sheetViews>
    <sheetView tabSelected="1" workbookViewId="0">
      <selection activeCell="F8" sqref="F8"/>
    </sheetView>
  </sheetViews>
  <sheetFormatPr defaultRowHeight="15" x14ac:dyDescent="0.25"/>
  <cols>
    <col min="1" max="1" width="41.28515625" bestFit="1" customWidth="1"/>
    <col min="2" max="3" width="9.42578125" bestFit="1" customWidth="1"/>
  </cols>
  <sheetData>
    <row r="1" spans="1:4" x14ac:dyDescent="0.25">
      <c r="A1" t="s">
        <v>0</v>
      </c>
      <c r="B1" t="s">
        <v>86</v>
      </c>
      <c r="C1" t="s">
        <v>87</v>
      </c>
      <c r="D1" s="1" t="s">
        <v>3</v>
      </c>
    </row>
    <row r="2" spans="1:4" x14ac:dyDescent="0.25">
      <c r="A2" t="s">
        <v>4</v>
      </c>
      <c r="D2" s="1"/>
    </row>
    <row r="3" spans="1:4" x14ac:dyDescent="0.25">
      <c r="A3" t="s">
        <v>4</v>
      </c>
    </row>
    <row r="4" spans="1:4" x14ac:dyDescent="0.25">
      <c r="A4" t="s">
        <v>4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  <c r="B8">
        <v>1067</v>
      </c>
      <c r="C8">
        <v>1076</v>
      </c>
      <c r="D8">
        <f>(1067-1076)/1076*100</f>
        <v>-0.83643122676579917</v>
      </c>
    </row>
    <row r="9" spans="1:4" x14ac:dyDescent="0.25">
      <c r="A9" t="s">
        <v>8</v>
      </c>
      <c r="B9">
        <v>8675</v>
      </c>
      <c r="C9">
        <v>9191</v>
      </c>
      <c r="D9">
        <f>(8675-9191)/9191*100</f>
        <v>-5.6141877924056143</v>
      </c>
    </row>
    <row r="10" spans="1:4" x14ac:dyDescent="0.25">
      <c r="A10" t="s">
        <v>9</v>
      </c>
      <c r="B10">
        <v>11043</v>
      </c>
      <c r="C10">
        <v>11702</v>
      </c>
    </row>
    <row r="11" spans="1:4" x14ac:dyDescent="0.25">
      <c r="A11" t="s">
        <v>10</v>
      </c>
      <c r="B11">
        <v>2017</v>
      </c>
      <c r="C11">
        <v>1961</v>
      </c>
    </row>
    <row r="12" spans="1:4" x14ac:dyDescent="0.25">
      <c r="A12" t="s">
        <v>11</v>
      </c>
      <c r="B12">
        <v>2749</v>
      </c>
      <c r="C12">
        <v>2165</v>
      </c>
    </row>
    <row r="13" spans="1:4" x14ac:dyDescent="0.25">
      <c r="A13" t="s">
        <v>12</v>
      </c>
      <c r="B13">
        <v>0</v>
      </c>
      <c r="C13">
        <v>0</v>
      </c>
    </row>
    <row r="14" spans="1:4" x14ac:dyDescent="0.25">
      <c r="A14" t="s">
        <v>13</v>
      </c>
      <c r="B14">
        <v>143</v>
      </c>
      <c r="C14">
        <v>170</v>
      </c>
      <c r="D14">
        <f>(143-170)/170*100</f>
        <v>-15.882352941176469</v>
      </c>
    </row>
    <row r="15" spans="1:4" x14ac:dyDescent="0.25">
      <c r="A15" t="s">
        <v>14</v>
      </c>
      <c r="B15">
        <v>60</v>
      </c>
      <c r="C15">
        <v>51</v>
      </c>
    </row>
    <row r="16" spans="1:4" x14ac:dyDescent="0.25">
      <c r="A16" t="s">
        <v>15</v>
      </c>
      <c r="B16">
        <v>72</v>
      </c>
      <c r="C16">
        <v>61</v>
      </c>
    </row>
    <row r="17" spans="1:4" x14ac:dyDescent="0.25">
      <c r="A17" t="s">
        <v>16</v>
      </c>
      <c r="B17">
        <v>5</v>
      </c>
      <c r="C17">
        <v>6</v>
      </c>
    </row>
    <row r="18" spans="1:4" x14ac:dyDescent="0.25">
      <c r="A18" t="s">
        <v>17</v>
      </c>
      <c r="B18">
        <v>8</v>
      </c>
      <c r="C18">
        <v>2</v>
      </c>
      <c r="D18">
        <f>(8-2)/2*100</f>
        <v>300</v>
      </c>
    </row>
    <row r="19" spans="1:4" x14ac:dyDescent="0.25">
      <c r="A19" t="s">
        <v>4</v>
      </c>
      <c r="B19">
        <v>25839</v>
      </c>
      <c r="C19">
        <v>26385</v>
      </c>
    </row>
    <row r="20" spans="1:4" x14ac:dyDescent="0.25">
      <c r="A20" t="s">
        <v>18</v>
      </c>
    </row>
    <row r="21" spans="1:4" x14ac:dyDescent="0.25">
      <c r="A21" t="s">
        <v>19</v>
      </c>
      <c r="B21">
        <v>10598</v>
      </c>
      <c r="C21">
        <v>10187</v>
      </c>
      <c r="D21">
        <f>(10598-10187)/10187*100</f>
        <v>4.0345538431334056</v>
      </c>
    </row>
    <row r="22" spans="1:4" x14ac:dyDescent="0.25">
      <c r="A22" t="s">
        <v>17</v>
      </c>
      <c r="B22">
        <v>4366</v>
      </c>
      <c r="C22">
        <v>4425</v>
      </c>
      <c r="D22">
        <f>(4366-4425)/4425*100</f>
        <v>-1.3333333333333335</v>
      </c>
    </row>
    <row r="23" spans="1:4" x14ac:dyDescent="0.25">
      <c r="A23" t="s">
        <v>20</v>
      </c>
      <c r="B23">
        <v>5328</v>
      </c>
      <c r="C23">
        <v>5383</v>
      </c>
      <c r="D23">
        <f>(5328-5383)/5383*100</f>
        <v>-1.0217350919561583</v>
      </c>
    </row>
    <row r="24" spans="1:4" x14ac:dyDescent="0.25">
      <c r="A24" t="s">
        <v>10</v>
      </c>
      <c r="B24">
        <v>388</v>
      </c>
      <c r="C24">
        <v>448</v>
      </c>
    </row>
    <row r="25" spans="1:4" x14ac:dyDescent="0.25">
      <c r="A25" t="s">
        <v>21</v>
      </c>
      <c r="B25">
        <v>24</v>
      </c>
      <c r="C25">
        <v>24</v>
      </c>
    </row>
    <row r="26" spans="1:4" x14ac:dyDescent="0.25">
      <c r="A26" t="s">
        <v>13</v>
      </c>
      <c r="B26">
        <v>13</v>
      </c>
      <c r="C26">
        <v>0</v>
      </c>
    </row>
    <row r="27" spans="1:4" x14ac:dyDescent="0.25">
      <c r="A27" t="s">
        <v>22</v>
      </c>
      <c r="B27">
        <v>1</v>
      </c>
      <c r="C27">
        <v>2</v>
      </c>
      <c r="D27">
        <f>(1-2)/2*100</f>
        <v>-50</v>
      </c>
    </row>
    <row r="28" spans="1:4" x14ac:dyDescent="0.25">
      <c r="A28" t="s">
        <v>4</v>
      </c>
      <c r="B28">
        <v>20718</v>
      </c>
      <c r="C28">
        <v>20469</v>
      </c>
    </row>
    <row r="29" spans="1:4" x14ac:dyDescent="0.25">
      <c r="A29" t="s">
        <v>110</v>
      </c>
      <c r="B29">
        <v>250</v>
      </c>
      <c r="C29">
        <v>56</v>
      </c>
    </row>
    <row r="30" spans="1:4" x14ac:dyDescent="0.25">
      <c r="A30" t="s">
        <v>24</v>
      </c>
      <c r="B30">
        <v>46807</v>
      </c>
      <c r="C30">
        <v>46910</v>
      </c>
    </row>
    <row r="31" spans="1:4" x14ac:dyDescent="0.25">
      <c r="A31" t="s">
        <v>25</v>
      </c>
    </row>
    <row r="32" spans="1:4" x14ac:dyDescent="0.25">
      <c r="A32" t="s">
        <v>26</v>
      </c>
    </row>
    <row r="33" spans="1:4" x14ac:dyDescent="0.25">
      <c r="A33" t="s">
        <v>27</v>
      </c>
      <c r="B33">
        <v>3883</v>
      </c>
      <c r="C33">
        <v>6</v>
      </c>
      <c r="D33">
        <f>(3883-3)/3*100</f>
        <v>129333.33333333333</v>
      </c>
    </row>
    <row r="34" spans="1:4" x14ac:dyDescent="0.25">
      <c r="A34" t="s">
        <v>29</v>
      </c>
      <c r="B34">
        <v>496</v>
      </c>
      <c r="C34">
        <v>557</v>
      </c>
      <c r="D34">
        <f>-(496-557)/557*100</f>
        <v>10.951526032315979</v>
      </c>
    </row>
    <row r="35" spans="1:4" x14ac:dyDescent="0.25">
      <c r="A35" t="s">
        <v>30</v>
      </c>
      <c r="B35">
        <v>7301</v>
      </c>
      <c r="C35">
        <v>646</v>
      </c>
      <c r="D35">
        <f>(7301-646)/646*100</f>
        <v>1030.1857585139319</v>
      </c>
    </row>
    <row r="36" spans="1:4" x14ac:dyDescent="0.25">
      <c r="A36" t="s">
        <v>31</v>
      </c>
      <c r="B36">
        <v>6</v>
      </c>
      <c r="C36">
        <v>1</v>
      </c>
    </row>
    <row r="37" spans="1:4" x14ac:dyDescent="0.25">
      <c r="A37" t="s">
        <v>32</v>
      </c>
      <c r="B37">
        <v>397</v>
      </c>
      <c r="C37">
        <v>389</v>
      </c>
    </row>
    <row r="38" spans="1:4" x14ac:dyDescent="0.25">
      <c r="A38" t="s">
        <v>111</v>
      </c>
      <c r="B38">
        <v>10297</v>
      </c>
      <c r="C38">
        <v>293</v>
      </c>
    </row>
    <row r="39" spans="1:4" x14ac:dyDescent="0.25">
      <c r="A39" t="s">
        <v>104</v>
      </c>
      <c r="B39">
        <v>668</v>
      </c>
      <c r="C39">
        <v>0</v>
      </c>
    </row>
    <row r="40" spans="1:4" x14ac:dyDescent="0.25">
      <c r="A40" t="s">
        <v>33</v>
      </c>
      <c r="B40">
        <v>10965</v>
      </c>
      <c r="C40">
        <v>293</v>
      </c>
    </row>
    <row r="41" spans="1:4" x14ac:dyDescent="0.25">
      <c r="A41" t="s">
        <v>4</v>
      </c>
    </row>
    <row r="42" spans="1:4" x14ac:dyDescent="0.25">
      <c r="A42" t="s">
        <v>34</v>
      </c>
    </row>
    <row r="43" spans="1:4" x14ac:dyDescent="0.25">
      <c r="A43" t="s">
        <v>35</v>
      </c>
      <c r="B43">
        <v>16379</v>
      </c>
      <c r="C43">
        <v>16868</v>
      </c>
      <c r="D43">
        <f>(16379-16868)/16868*100</f>
        <v>-2.8989803177614419</v>
      </c>
    </row>
    <row r="44" spans="1:4" x14ac:dyDescent="0.25">
      <c r="A44" t="s">
        <v>40</v>
      </c>
      <c r="B44">
        <v>850</v>
      </c>
      <c r="C44">
        <v>4500</v>
      </c>
      <c r="D44">
        <f>(850-4500)/4500*100</f>
        <v>-81.111111111111114</v>
      </c>
    </row>
    <row r="45" spans="1:4" x14ac:dyDescent="0.25">
      <c r="A45" t="s">
        <v>4</v>
      </c>
      <c r="B45">
        <v>17229</v>
      </c>
      <c r="C45">
        <v>21368</v>
      </c>
    </row>
    <row r="46" spans="1:4" x14ac:dyDescent="0.25">
      <c r="A46" t="s">
        <v>36</v>
      </c>
    </row>
    <row r="47" spans="1:4" x14ac:dyDescent="0.25">
      <c r="A47" t="s">
        <v>112</v>
      </c>
      <c r="B47">
        <v>15036</v>
      </c>
      <c r="C47">
        <v>15354</v>
      </c>
      <c r="D47">
        <f>(15036-15354)/15354*100</f>
        <v>-2.0711215318483784</v>
      </c>
    </row>
    <row r="48" spans="1:4" x14ac:dyDescent="0.25">
      <c r="A48" t="s">
        <v>35</v>
      </c>
      <c r="B48">
        <v>2741</v>
      </c>
      <c r="C48">
        <v>2838</v>
      </c>
      <c r="D48">
        <f>(2741-2838)/2838*100</f>
        <v>-3.4178999295278367</v>
      </c>
    </row>
    <row r="49" spans="1:4" x14ac:dyDescent="0.25">
      <c r="A49" t="s">
        <v>38</v>
      </c>
      <c r="B49">
        <v>300</v>
      </c>
      <c r="C49">
        <v>323</v>
      </c>
      <c r="D49">
        <f>(300-323)/323*100</f>
        <v>-7.1207430340557281</v>
      </c>
    </row>
    <row r="50" spans="1:4" x14ac:dyDescent="0.25">
      <c r="A50" t="s">
        <v>39</v>
      </c>
      <c r="B50">
        <v>300</v>
      </c>
      <c r="C50">
        <v>5179</v>
      </c>
      <c r="D50">
        <f>(300-5179)/5179*100</f>
        <v>-94.207375941301407</v>
      </c>
    </row>
    <row r="51" spans="1:4" x14ac:dyDescent="0.25">
      <c r="A51" t="s">
        <v>40</v>
      </c>
      <c r="B51">
        <v>0</v>
      </c>
      <c r="C51">
        <v>1766</v>
      </c>
      <c r="D51">
        <f>-100</f>
        <v>-100</v>
      </c>
    </row>
    <row r="52" spans="1:4" x14ac:dyDescent="0.25">
      <c r="A52" t="s">
        <v>41</v>
      </c>
      <c r="B52">
        <v>140</v>
      </c>
      <c r="C52">
        <v>273</v>
      </c>
    </row>
    <row r="53" spans="1:4" x14ac:dyDescent="0.25">
      <c r="A53" t="s">
        <v>113</v>
      </c>
      <c r="B53">
        <v>96</v>
      </c>
      <c r="C53">
        <v>102</v>
      </c>
    </row>
    <row r="54" spans="1:4" x14ac:dyDescent="0.25">
      <c r="A54" t="s">
        <v>4</v>
      </c>
      <c r="B54">
        <v>18613</v>
      </c>
      <c r="C54">
        <v>25835</v>
      </c>
    </row>
    <row r="55" spans="1:4" x14ac:dyDescent="0.25">
      <c r="A55" t="s">
        <v>43</v>
      </c>
      <c r="B55">
        <v>46807</v>
      </c>
      <c r="C55">
        <v>46910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4A55CB-F48D-4B00-846F-AD53A34B2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position 2022 to 2023</vt:lpstr>
      <vt:lpstr>Income statement 2022 to 2023</vt:lpstr>
      <vt:lpstr>Income statement 2024 to 2025</vt:lpstr>
      <vt:lpstr>Financial position 2024 t0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Mfundo  Radebe</dc:creator>
  <cp:lastModifiedBy>SAMUKELE Mfundo  Radebe</cp:lastModifiedBy>
  <dcterms:created xsi:type="dcterms:W3CDTF">2026-06-11T10:59:31Z</dcterms:created>
  <dcterms:modified xsi:type="dcterms:W3CDTF">2026-06-11T11:44:57Z</dcterms:modified>
</cp:coreProperties>
</file>